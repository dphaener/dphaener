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bookViews>
    <workbookView xWindow="360" yWindow="135" windowWidth="15480" windowHeight="9945"/>
  </bookViews>
  <sheets>
    <sheet name="IBU Formula" sheetId="1" r:id="rId1"/>
    <sheet name="Utilization Factors" sheetId="2" r:id="rId2"/>
    <sheet name="Sheet3" sheetId="3" r:id="rId3"/>
  </sheets>
  <calcPr calcId="161420"/>
</workbook>
</file>

<file path=xl/calcChain.xml><?xml version="1.0" encoding="utf-8"?>
<calcChain xmlns="http://schemas.openxmlformats.org/spreadsheetml/2006/main">
  <c r="K52" i="3" l="1"/>
  <c r="C13" i="3"/>
  <c r="C14" i="3"/>
  <c r="C11" i="3"/>
  <c r="C10" i="3"/>
  <c r="C9" i="3"/>
  <c r="C8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F5" i="1"/>
  <c r="F11" i="1"/>
  <c r="C15" i="3"/>
  <c r="C16" i="3"/>
  <c r="F12" i="1"/>
  <c r="F10" i="1"/>
  <c r="F9" i="1"/>
  <c r="H10" i="1"/>
  <c r="H9" i="1"/>
  <c r="H4" i="1"/>
  <c r="H12" i="1"/>
  <c r="H11" i="1"/>
</calcChain>
</file>

<file path=xl/sharedStrings.xml><?xml version="1.0" encoding="utf-8"?>
<sst xmlns="http://schemas.openxmlformats.org/spreadsheetml/2006/main" count="35" uniqueCount="29">
  <si>
    <t>Alpha Acid %</t>
  </si>
  <si>
    <t>Quantity (Oz)</t>
  </si>
  <si>
    <t>Boil Time</t>
  </si>
  <si>
    <t>Kettle Volume</t>
  </si>
  <si>
    <t>Gravity (Plato)</t>
  </si>
  <si>
    <t>Brewhouse Factor</t>
  </si>
  <si>
    <t>IBU's</t>
  </si>
  <si>
    <t>Formula</t>
  </si>
  <si>
    <t>Wort pH</t>
  </si>
  <si>
    <t>Utilization Formula</t>
  </si>
  <si>
    <t>Haener</t>
  </si>
  <si>
    <t>Hop Type</t>
  </si>
  <si>
    <t>Pellet</t>
  </si>
  <si>
    <t>Utilization Loss</t>
  </si>
  <si>
    <t>Utilization From Table</t>
  </si>
  <si>
    <t>Plug</t>
  </si>
  <si>
    <t>Utilization From Tinseth Formula</t>
  </si>
  <si>
    <t>Rager</t>
  </si>
  <si>
    <t>Whole Leaf</t>
  </si>
  <si>
    <t>Bigness Factor</t>
  </si>
  <si>
    <t>Tinseth</t>
  </si>
  <si>
    <t>pH Utilization % Increase</t>
  </si>
  <si>
    <t>Wikipedia</t>
  </si>
  <si>
    <t>aa%</t>
  </si>
  <si>
    <t>Utl. Var.</t>
  </si>
  <si>
    <t>pH Utilization Variance Formula = (AA% - 20.83755)/(-10.0171)</t>
  </si>
  <si>
    <t>pH</t>
  </si>
  <si>
    <t>Util. %</t>
  </si>
  <si>
    <t>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</si>
</sst>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&quot; %&quot;"/>
    <numFmt numFmtId="167" formatCode="0.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2" fontId="0" fillId="2" borderId="7" xfId="0" applyNumberFormat="1" applyFill="1" applyBorder="1" applyAlignment="1" applyProtection="1">
      <alignment horizontal="center"/>
      <protection locked="0"/>
    </xf>
    <xf numFmtId="165" fontId="0" fillId="0" borderId="8" xfId="0" applyNumberFormat="1" applyBorder="1" applyAlignment="1">
      <alignment horizontal="center"/>
    </xf>
    <xf numFmtId="166" fontId="0" fillId="0" borderId="11" xfId="0" applyNumberFormat="1" applyBorder="1"/>
    <xf numFmtId="166" fontId="0" fillId="0" borderId="13" xfId="0" applyNumberFormat="1" applyBorder="1"/>
    <xf numFmtId="0" fontId="1" fillId="0" borderId="9" xfId="0" applyFont="1" applyBorder="1"/>
    <xf numFmtId="0" fontId="1" fillId="0" borderId="12" xfId="0" applyFont="1" applyBorder="1"/>
    <xf numFmtId="0" fontId="1" fillId="0" borderId="3" xfId="0" applyFont="1" applyBorder="1"/>
    <xf numFmtId="0" fontId="1" fillId="0" borderId="8" xfId="0" applyFont="1" applyBorder="1" applyAlignment="1">
      <alignment horizontal="center"/>
    </xf>
    <xf numFmtId="0" fontId="0" fillId="2" borderId="1" xfId="0" applyFill="1" applyBorder="1" applyAlignment="1" applyProtection="1">
      <alignment horizontal="center"/>
      <protection locked="0"/>
    </xf>
    <xf numFmtId="9" fontId="0" fillId="2" borderId="11" xfId="0" applyNumberFormat="1" applyFont="1" applyFill="1" applyBorder="1" applyProtection="1">
      <protection locked="0"/>
    </xf>
    <xf numFmtId="9" fontId="0" fillId="2" borderId="13" xfId="0" applyNumberFormat="1" applyFont="1" applyFill="1" applyBorder="1" applyProtection="1">
      <protection locked="0"/>
    </xf>
    <xf numFmtId="9" fontId="0" fillId="2" borderId="5" xfId="0" applyNumberFormat="1" applyFont="1" applyFill="1" applyBorder="1" applyProtection="1">
      <protection locked="0"/>
    </xf>
    <xf numFmtId="2" fontId="0" fillId="0" borderId="4" xfId="0" applyNumberFormat="1" applyBorder="1" applyAlignment="1">
      <alignment horizontal="center"/>
    </xf>
    <xf numFmtId="2" fontId="2" fillId="0" borderId="17" xfId="0" applyNumberFormat="1" applyFont="1" applyFill="1" applyBorder="1" applyAlignment="1" applyProtection="1">
      <alignment horizontal="center"/>
      <protection hidden="1"/>
    </xf>
    <xf numFmtId="0" fontId="2" fillId="0" borderId="17" xfId="0" applyFont="1" applyFill="1" applyBorder="1" applyAlignment="1" applyProtection="1">
      <alignment horizontal="center"/>
      <protection hidden="1"/>
    </xf>
    <xf numFmtId="0" fontId="1" fillId="0" borderId="18" xfId="0" applyFont="1" applyFill="1" applyBorder="1" applyAlignment="1">
      <alignment horizontal="center"/>
    </xf>
    <xf numFmtId="0" fontId="0" fillId="2" borderId="19" xfId="0" applyFill="1" applyBorder="1" applyAlignment="1" applyProtection="1">
      <alignment horizontal="center"/>
      <protection locked="0"/>
    </xf>
    <xf numFmtId="0" fontId="1" fillId="0" borderId="11" xfId="0" applyFont="1" applyFill="1" applyBorder="1" applyAlignment="1">
      <alignment horizontal="center"/>
    </xf>
    <xf numFmtId="164" fontId="0" fillId="0" borderId="22" xfId="0" applyNumberFormat="1" applyBorder="1"/>
    <xf numFmtId="166" fontId="0" fillId="0" borderId="5" xfId="0" applyNumberFormat="1" applyBorder="1" applyAlignment="1">
      <alignment horizontal="right"/>
    </xf>
    <xf numFmtId="0" fontId="0" fillId="0" borderId="0" xfId="0" applyAlignment="1"/>
    <xf numFmtId="0" fontId="1" fillId="0" borderId="23" xfId="0" applyFont="1" applyFill="1" applyBorder="1" applyAlignment="1">
      <alignment horizontal="center"/>
    </xf>
    <xf numFmtId="167" fontId="0" fillId="2" borderId="19" xfId="0" applyNumberFormat="1" applyFill="1" applyBorder="1" applyAlignment="1" applyProtection="1">
      <alignment horizontal="center"/>
      <protection locked="0"/>
    </xf>
    <xf numFmtId="0" fontId="0" fillId="0" borderId="5" xfId="0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3"/>
  <sheetViews>
    <sheetView tabSelected="1" workbookViewId="0">
      <selection activeCell="F14" sqref="F14"/>
    </sheetView>
  </sheetViews>
  <sheetFormatPr defaultRowHeight="15"/>
  <cols>
    <col min="1" max="1" width="2.7109375" customWidth="1"/>
    <col min="2" max="6" width="15.7109375" customWidth="1"/>
    <col min="7" max="7" width="17.5703125" customWidth="1"/>
    <col min="8" max="9" width="15.7109375" customWidth="1"/>
    <col min="10" max="10" width="19.140625" customWidth="1"/>
    <col min="11" max="11" width="18.140625" customWidth="1"/>
  </cols>
  <sheetData>
    <row r="2" spans="2:11" ht="15.75" thickBot="1"/>
    <row r="3" spans="2:11" ht="16.5" thickTop="1" thickBot="1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2" t="s">
        <v>6</v>
      </c>
      <c r="I3" s="21" t="s">
        <v>7</v>
      </c>
      <c r="J3" s="27" t="s">
        <v>8</v>
      </c>
      <c r="K3" s="23" t="s">
        <v>9</v>
      </c>
    </row>
    <row r="4" spans="2:11" ht="15.75" thickBot="1">
      <c r="B4" s="3">
        <v>8.0000000000000071</v>
      </c>
      <c r="C4" s="4">
        <v>32</v>
      </c>
      <c r="D4" s="4">
        <v>60</v>
      </c>
      <c r="E4" s="4">
        <v>310</v>
      </c>
      <c r="F4" s="5">
        <v>14.000000000000002</v>
      </c>
      <c r="G4" s="6">
        <v>1</v>
      </c>
      <c r="H4" s="18">
        <f>LOOKUP(I4,I9:I12,H9:H12)</f>
        <v>18.453835003493861</v>
      </c>
      <c r="I4" s="22" t="s">
        <v>10</v>
      </c>
      <c r="J4" s="28">
        <v>5.4000000000000012</v>
      </c>
      <c r="K4" s="29">
        <v>2</v>
      </c>
    </row>
    <row r="5" spans="2:11" ht="16.5" thickTop="1" thickBot="1">
      <c r="B5" s="2" t="s">
        <v>11</v>
      </c>
      <c r="F5" s="7">
        <f>259/(259-F4)</f>
        <v>1.0571428571428572</v>
      </c>
    </row>
    <row r="6" spans="2:11" ht="15.75" thickBot="1">
      <c r="B6" s="14" t="s">
        <v>12</v>
      </c>
      <c r="H6" s="26"/>
      <c r="I6" s="26"/>
    </row>
    <row r="7" spans="2:11" ht="16.5" thickTop="1" thickBot="1"/>
    <row r="8" spans="2:11" ht="16.5" thickTop="1" thickBot="1">
      <c r="C8" s="13" t="s">
        <v>13</v>
      </c>
    </row>
    <row r="9" spans="2:11" ht="16.5" thickTop="1" thickBot="1">
      <c r="B9" s="10" t="s">
        <v>12</v>
      </c>
      <c r="C9" s="15">
        <v>0</v>
      </c>
      <c r="D9" s="30" t="s">
        <v>14</v>
      </c>
      <c r="E9" s="31"/>
      <c r="F9" s="8">
        <f>(LOOKUP(D4,'Utilization Factors'!A1:A121,'Utilization Factors'!B1:B121)*G4)-((LOOKUP(D4,'Utilization Factors'!A1:A121,'Utilization Factors'!B1:B121)*G4)*LOOKUP(B6,B9:B11,C9:C11))+F12</f>
        <v>27.9</v>
      </c>
      <c r="H9" s="19">
        <f>(((((B4*C4*284)*(((1.65*0.000125^(259/(259-F4)-1))*IF(K4=2,F10,F9))))/(E4/31))*0.000117335))</f>
        <v>18.453835003493861</v>
      </c>
      <c r="I9" s="20" t="s">
        <v>10</v>
      </c>
    </row>
    <row r="10" spans="2:11" ht="15.75" thickBot="1">
      <c r="B10" s="11" t="s">
        <v>15</v>
      </c>
      <c r="C10" s="16">
        <v>0.08</v>
      </c>
      <c r="D10" s="32" t="s">
        <v>16</v>
      </c>
      <c r="E10" s="33"/>
      <c r="F10" s="9">
        <f>((((1-EXP(-0.04*D4))/((1/G4)*4.15))*100)-((((1-EXP(-0.04*D4))/((1/G4)*4.15))*100)*LOOKUP(B6,B9:B11,C9:C11)))+F12</f>
        <v>21.910410764110541</v>
      </c>
      <c r="H10" s="19">
        <f>(C4*B4/100*7489*(((1.65*0.000125^(259/(259-F4)-1))*IF(K4=2,F10,F9)/100)))/(E4*(259/(259-F4)))</f>
        <v>12.655204648436227</v>
      </c>
      <c r="I10" s="20" t="s">
        <v>17</v>
      </c>
    </row>
    <row r="11" spans="2:11" ht="15.75" thickBot="1">
      <c r="B11" s="12" t="s">
        <v>18</v>
      </c>
      <c r="C11" s="17">
        <v>0.1</v>
      </c>
      <c r="D11" s="34" t="s">
        <v>19</v>
      </c>
      <c r="E11" s="35"/>
      <c r="F11" s="24">
        <f>(1.65*0.000125^(259/(259-F4)-1))</f>
        <v>0.98730248626088535</v>
      </c>
      <c r="H11" s="19">
        <f>((B4/100*C4*7490)/E4)*((1.65*0.000125^(259/(259-F4)-1))*IF(K4=2,F10,F9)/100)</f>
        <v>13.380145601057288</v>
      </c>
      <c r="I11" s="20" t="s">
        <v>20</v>
      </c>
    </row>
    <row r="12" spans="2:11" ht="16.5" thickTop="1" thickBot="1">
      <c r="D12" s="36" t="s">
        <v>21</v>
      </c>
      <c r="E12" s="37"/>
      <c r="F12" s="25">
        <f>IF(J4=5.4, 0,LOOKUP(J4,Sheet3!B8:B16,Sheet3!C8:C16))</f>
        <v>0</v>
      </c>
      <c r="H12" s="19">
        <f>(C4*B4*((1.65*0.000125^(259/(259-F4)-1))*IF(K4=2,F10,F9)))/(E4*1.34)</f>
        <v>13.331352849627651</v>
      </c>
      <c r="I12" s="20" t="s">
        <v>22</v>
      </c>
    </row>
    <row r="13" spans="2:11" ht="15.75" thickTop="1"/>
  </sheetData>
  <sheetProtection selectLockedCells="1"/>
  <mergeCells count="4">
    <mergeCell ref="D9:E9"/>
    <mergeCell ref="D10:E10"/>
    <mergeCell ref="D11:E11"/>
    <mergeCell ref="D12:E12"/>
  </mergeCells>
  <dataValidations count="3">
    <dataValidation type="list" allowBlank="1" showInputMessage="1" showErrorMessage="1" sqref="B6">
      <formula1>$B$9:$B$11</formula1>
    </dataValidation>
    <dataValidation type="list" allowBlank="1" showInputMessage="1" showErrorMessage="1" sqref="I4">
      <formula1>$I$9:$I$12</formula1>
    </dataValidation>
    <dataValidation type="decimal" allowBlank="1" showInputMessage="1" showErrorMessage="1" sqref="J4">
      <formula1>5</formula1>
      <formula2>5.8</formula2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21"/>
  <sheetViews>
    <sheetView topLeftCell="A40" workbookViewId="0">
      <selection activeCell="D101" sqref="D101"/>
    </sheetView>
  </sheetViews>
  <sheetFormatPr defaultRowHeight="15"/>
  <sheetData>
    <row r="1" spans="1:2">
      <c r="A1">
        <v>0</v>
      </c>
      <c r="B1">
        <v>4.8</v>
      </c>
    </row>
    <row r="2" spans="1:2">
      <c r="A2">
        <v>1</v>
      </c>
      <c r="B2">
        <v>4.8</v>
      </c>
    </row>
    <row r="3" spans="1:2">
      <c r="A3">
        <v>2</v>
      </c>
      <c r="B3">
        <v>4.9000000000000004</v>
      </c>
    </row>
    <row r="4" spans="1:2">
      <c r="A4">
        <v>3</v>
      </c>
      <c r="B4">
        <v>4.9000000000000004</v>
      </c>
    </row>
    <row r="5" spans="1:2">
      <c r="A5">
        <v>4</v>
      </c>
      <c r="B5">
        <v>5</v>
      </c>
    </row>
    <row r="6" spans="1:2">
      <c r="A6">
        <v>5</v>
      </c>
      <c r="B6">
        <v>5</v>
      </c>
    </row>
    <row r="7" spans="1:2">
      <c r="A7">
        <v>6</v>
      </c>
      <c r="B7">
        <v>5.2</v>
      </c>
    </row>
    <row r="8" spans="1:2">
      <c r="A8">
        <v>7</v>
      </c>
      <c r="B8">
        <v>5.4</v>
      </c>
    </row>
    <row r="9" spans="1:2">
      <c r="A9">
        <v>8</v>
      </c>
      <c r="B9">
        <v>5.6</v>
      </c>
    </row>
    <row r="10" spans="1:2">
      <c r="A10">
        <v>9</v>
      </c>
      <c r="B10">
        <v>5.8</v>
      </c>
    </row>
    <row r="11" spans="1:2">
      <c r="A11">
        <v>10</v>
      </c>
      <c r="B11">
        <v>6</v>
      </c>
    </row>
    <row r="12" spans="1:2">
      <c r="A12">
        <v>11</v>
      </c>
      <c r="B12">
        <v>6.4</v>
      </c>
    </row>
    <row r="13" spans="1:2">
      <c r="A13">
        <v>12</v>
      </c>
      <c r="B13">
        <v>6.8</v>
      </c>
    </row>
    <row r="14" spans="1:2">
      <c r="A14">
        <v>13</v>
      </c>
      <c r="B14">
        <v>7.2</v>
      </c>
    </row>
    <row r="15" spans="1:2">
      <c r="A15">
        <v>14</v>
      </c>
      <c r="B15">
        <v>7.6</v>
      </c>
    </row>
    <row r="16" spans="1:2">
      <c r="A16">
        <v>15</v>
      </c>
      <c r="B16">
        <v>8</v>
      </c>
    </row>
    <row r="17" spans="1:2">
      <c r="A17">
        <v>16</v>
      </c>
      <c r="B17">
        <v>8.4</v>
      </c>
    </row>
    <row r="18" spans="1:2">
      <c r="A18">
        <v>17</v>
      </c>
      <c r="B18">
        <v>8.8000000000000007</v>
      </c>
    </row>
    <row r="19" spans="1:2">
      <c r="A19">
        <v>18</v>
      </c>
      <c r="B19">
        <v>9.1999999999999993</v>
      </c>
    </row>
    <row r="20" spans="1:2">
      <c r="A20">
        <v>19</v>
      </c>
      <c r="B20">
        <v>9.6</v>
      </c>
    </row>
    <row r="21" spans="1:2">
      <c r="A21">
        <v>20</v>
      </c>
      <c r="B21">
        <v>10.1</v>
      </c>
    </row>
    <row r="22" spans="1:2">
      <c r="A22">
        <v>21</v>
      </c>
      <c r="B22">
        <v>10.5</v>
      </c>
    </row>
    <row r="23" spans="1:2">
      <c r="A23">
        <v>22</v>
      </c>
      <c r="B23">
        <v>10.9</v>
      </c>
    </row>
    <row r="24" spans="1:2">
      <c r="A24">
        <v>23</v>
      </c>
      <c r="B24">
        <v>11.3</v>
      </c>
    </row>
    <row r="25" spans="1:2">
      <c r="A25">
        <v>24</v>
      </c>
      <c r="B25">
        <v>11.7</v>
      </c>
    </row>
    <row r="26" spans="1:2">
      <c r="A26">
        <v>25</v>
      </c>
      <c r="B26">
        <v>12.1</v>
      </c>
    </row>
    <row r="27" spans="1:2">
      <c r="A27">
        <v>26</v>
      </c>
      <c r="B27">
        <v>12.7</v>
      </c>
    </row>
    <row r="28" spans="1:2">
      <c r="A28">
        <v>27</v>
      </c>
      <c r="B28">
        <v>13.4</v>
      </c>
    </row>
    <row r="29" spans="1:2">
      <c r="A29">
        <v>28</v>
      </c>
      <c r="B29">
        <v>14</v>
      </c>
    </row>
    <row r="30" spans="1:2">
      <c r="A30">
        <v>29</v>
      </c>
      <c r="B30">
        <v>14.7</v>
      </c>
    </row>
    <row r="31" spans="1:2">
      <c r="A31">
        <v>30</v>
      </c>
      <c r="B31">
        <v>15.3</v>
      </c>
    </row>
    <row r="32" spans="1:2">
      <c r="A32">
        <v>31</v>
      </c>
      <c r="B32">
        <v>16</v>
      </c>
    </row>
    <row r="33" spans="1:2">
      <c r="A33">
        <v>32</v>
      </c>
      <c r="B33">
        <v>16.7</v>
      </c>
    </row>
    <row r="34" spans="1:2">
      <c r="A34">
        <v>33</v>
      </c>
      <c r="B34">
        <v>17.399999999999999</v>
      </c>
    </row>
    <row r="35" spans="1:2">
      <c r="A35">
        <v>34</v>
      </c>
      <c r="B35">
        <v>18.100000000000001</v>
      </c>
    </row>
    <row r="36" spans="1:2">
      <c r="A36">
        <v>35</v>
      </c>
      <c r="B36">
        <v>18.8</v>
      </c>
    </row>
    <row r="37" spans="1:2">
      <c r="A37">
        <v>36</v>
      </c>
      <c r="B37">
        <v>19.600000000000001</v>
      </c>
    </row>
    <row r="38" spans="1:2">
      <c r="A38">
        <v>37</v>
      </c>
      <c r="B38">
        <v>20.399999999999999</v>
      </c>
    </row>
    <row r="39" spans="1:2">
      <c r="A39">
        <v>38</v>
      </c>
      <c r="B39">
        <v>21.2</v>
      </c>
    </row>
    <row r="40" spans="1:2">
      <c r="A40">
        <v>39</v>
      </c>
      <c r="B40">
        <v>22</v>
      </c>
    </row>
    <row r="41" spans="1:2">
      <c r="A41">
        <v>40</v>
      </c>
      <c r="B41">
        <v>22.8</v>
      </c>
    </row>
    <row r="42" spans="1:2">
      <c r="A42">
        <v>41</v>
      </c>
      <c r="B42">
        <v>23.6</v>
      </c>
    </row>
    <row r="43" spans="1:2">
      <c r="A43">
        <v>42</v>
      </c>
      <c r="B43">
        <v>24.4</v>
      </c>
    </row>
    <row r="44" spans="1:2">
      <c r="A44">
        <v>43</v>
      </c>
      <c r="B44">
        <v>25.3</v>
      </c>
    </row>
    <row r="45" spans="1:2">
      <c r="A45">
        <v>44</v>
      </c>
      <c r="B45">
        <v>26.1</v>
      </c>
    </row>
    <row r="46" spans="1:2">
      <c r="A46">
        <v>45</v>
      </c>
      <c r="B46">
        <v>26.9</v>
      </c>
    </row>
    <row r="47" spans="1:2">
      <c r="A47">
        <v>46</v>
      </c>
      <c r="B47">
        <v>27</v>
      </c>
    </row>
    <row r="48" spans="1:2">
      <c r="A48">
        <v>47</v>
      </c>
      <c r="B48">
        <v>27</v>
      </c>
    </row>
    <row r="49" spans="1:2">
      <c r="A49">
        <v>48</v>
      </c>
      <c r="B49">
        <v>27.1</v>
      </c>
    </row>
    <row r="50" spans="1:2">
      <c r="A50">
        <v>49</v>
      </c>
      <c r="B50">
        <v>27.2</v>
      </c>
    </row>
    <row r="51" spans="1:2">
      <c r="A51">
        <v>50</v>
      </c>
      <c r="B51">
        <v>27.2</v>
      </c>
    </row>
    <row r="52" spans="1:2">
      <c r="A52">
        <v>51</v>
      </c>
      <c r="B52">
        <v>27.3</v>
      </c>
    </row>
    <row r="53" spans="1:2">
      <c r="A53">
        <v>52</v>
      </c>
      <c r="B53">
        <v>27.4</v>
      </c>
    </row>
    <row r="54" spans="1:2">
      <c r="A54">
        <v>53</v>
      </c>
      <c r="B54">
        <v>27.5</v>
      </c>
    </row>
    <row r="55" spans="1:2">
      <c r="A55">
        <v>54</v>
      </c>
      <c r="B55">
        <v>27.5</v>
      </c>
    </row>
    <row r="56" spans="1:2">
      <c r="A56">
        <v>55</v>
      </c>
      <c r="B56">
        <v>27.6</v>
      </c>
    </row>
    <row r="57" spans="1:2">
      <c r="A57">
        <v>56</v>
      </c>
      <c r="B57">
        <v>27.7</v>
      </c>
    </row>
    <row r="58" spans="1:2">
      <c r="A58">
        <v>57</v>
      </c>
      <c r="B58">
        <v>27.7</v>
      </c>
    </row>
    <row r="59" spans="1:2">
      <c r="A59">
        <v>58</v>
      </c>
      <c r="B59">
        <v>27.8</v>
      </c>
    </row>
    <row r="60" spans="1:2">
      <c r="A60">
        <v>59</v>
      </c>
      <c r="B60">
        <v>27.9</v>
      </c>
    </row>
    <row r="61" spans="1:2">
      <c r="A61">
        <v>60</v>
      </c>
      <c r="B61">
        <v>27.9</v>
      </c>
    </row>
    <row r="62" spans="1:2">
      <c r="A62">
        <v>61</v>
      </c>
      <c r="B62">
        <v>28</v>
      </c>
    </row>
    <row r="63" spans="1:2">
      <c r="A63">
        <v>62</v>
      </c>
      <c r="B63">
        <v>28.1</v>
      </c>
    </row>
    <row r="64" spans="1:2">
      <c r="A64">
        <v>63</v>
      </c>
      <c r="B64">
        <v>28.1</v>
      </c>
    </row>
    <row r="65" spans="1:2">
      <c r="A65">
        <v>64</v>
      </c>
      <c r="B65">
        <v>28.2</v>
      </c>
    </row>
    <row r="66" spans="1:2">
      <c r="A66">
        <v>65</v>
      </c>
      <c r="B66">
        <v>28.3</v>
      </c>
    </row>
    <row r="67" spans="1:2">
      <c r="A67">
        <v>66</v>
      </c>
      <c r="B67">
        <v>28.3</v>
      </c>
    </row>
    <row r="68" spans="1:2">
      <c r="A68">
        <v>67</v>
      </c>
      <c r="B68">
        <v>28.4</v>
      </c>
    </row>
    <row r="69" spans="1:2">
      <c r="A69">
        <v>68</v>
      </c>
      <c r="B69">
        <v>28.5</v>
      </c>
    </row>
    <row r="70" spans="1:2">
      <c r="A70">
        <v>69</v>
      </c>
      <c r="B70">
        <v>28.6</v>
      </c>
    </row>
    <row r="71" spans="1:2">
      <c r="A71">
        <v>70</v>
      </c>
      <c r="B71">
        <v>28.6</v>
      </c>
    </row>
    <row r="72" spans="1:2">
      <c r="A72">
        <v>71</v>
      </c>
      <c r="B72">
        <v>28.7</v>
      </c>
    </row>
    <row r="73" spans="1:2">
      <c r="A73">
        <v>72</v>
      </c>
      <c r="B73">
        <v>28.8</v>
      </c>
    </row>
    <row r="74" spans="1:2">
      <c r="A74">
        <v>73</v>
      </c>
      <c r="B74">
        <v>28.8</v>
      </c>
    </row>
    <row r="75" spans="1:2">
      <c r="A75">
        <v>74</v>
      </c>
      <c r="B75">
        <v>28.9</v>
      </c>
    </row>
    <row r="76" spans="1:2">
      <c r="A76">
        <v>75</v>
      </c>
      <c r="B76">
        <v>29</v>
      </c>
    </row>
    <row r="77" spans="1:2">
      <c r="A77">
        <v>76</v>
      </c>
      <c r="B77">
        <v>29</v>
      </c>
    </row>
    <row r="78" spans="1:2">
      <c r="A78">
        <v>77</v>
      </c>
      <c r="B78">
        <v>29.1</v>
      </c>
    </row>
    <row r="79" spans="1:2">
      <c r="A79">
        <v>78</v>
      </c>
      <c r="B79">
        <v>29.2</v>
      </c>
    </row>
    <row r="80" spans="1:2">
      <c r="A80">
        <v>79</v>
      </c>
      <c r="B80">
        <v>29.2</v>
      </c>
    </row>
    <row r="81" spans="1:2">
      <c r="A81">
        <v>80</v>
      </c>
      <c r="B81">
        <v>29.3</v>
      </c>
    </row>
    <row r="82" spans="1:2">
      <c r="A82">
        <v>81</v>
      </c>
      <c r="B82">
        <v>29.4</v>
      </c>
    </row>
    <row r="83" spans="1:2">
      <c r="A83">
        <v>82</v>
      </c>
      <c r="B83">
        <v>29.4</v>
      </c>
    </row>
    <row r="84" spans="1:2">
      <c r="A84">
        <v>83</v>
      </c>
      <c r="B84">
        <v>29.5</v>
      </c>
    </row>
    <row r="85" spans="1:2">
      <c r="A85">
        <v>84</v>
      </c>
      <c r="B85">
        <v>29.6</v>
      </c>
    </row>
    <row r="86" spans="1:2">
      <c r="A86">
        <v>85</v>
      </c>
      <c r="B86">
        <v>29.7</v>
      </c>
    </row>
    <row r="87" spans="1:2">
      <c r="A87">
        <v>86</v>
      </c>
      <c r="B87">
        <v>29.7</v>
      </c>
    </row>
    <row r="88" spans="1:2">
      <c r="A88">
        <v>87</v>
      </c>
      <c r="B88">
        <v>29.8</v>
      </c>
    </row>
    <row r="89" spans="1:2">
      <c r="A89">
        <v>88</v>
      </c>
      <c r="B89">
        <v>29.9</v>
      </c>
    </row>
    <row r="90" spans="1:2">
      <c r="A90">
        <v>89</v>
      </c>
      <c r="B90">
        <v>29.9</v>
      </c>
    </row>
    <row r="91" spans="1:2">
      <c r="A91">
        <v>90</v>
      </c>
      <c r="B91">
        <v>30</v>
      </c>
    </row>
    <row r="92" spans="1:2">
      <c r="A92">
        <v>91</v>
      </c>
      <c r="B92">
        <v>30</v>
      </c>
    </row>
    <row r="93" spans="1:2">
      <c r="A93">
        <v>92</v>
      </c>
      <c r="B93">
        <v>30</v>
      </c>
    </row>
    <row r="94" spans="1:2">
      <c r="A94">
        <v>93</v>
      </c>
      <c r="B94">
        <v>30</v>
      </c>
    </row>
    <row r="95" spans="1:2">
      <c r="A95">
        <v>94</v>
      </c>
      <c r="B95">
        <v>30</v>
      </c>
    </row>
    <row r="96" spans="1:2">
      <c r="A96">
        <v>95</v>
      </c>
      <c r="B96">
        <v>30</v>
      </c>
    </row>
    <row r="97" spans="1:2">
      <c r="A97">
        <v>96</v>
      </c>
      <c r="B97">
        <v>30</v>
      </c>
    </row>
    <row r="98" spans="1:2">
      <c r="A98">
        <v>97</v>
      </c>
      <c r="B98">
        <v>30</v>
      </c>
    </row>
    <row r="99" spans="1:2">
      <c r="A99">
        <v>98</v>
      </c>
      <c r="B99">
        <v>30</v>
      </c>
    </row>
    <row r="100" spans="1:2">
      <c r="A100">
        <v>99</v>
      </c>
      <c r="B100">
        <v>30</v>
      </c>
    </row>
    <row r="101" spans="1:2">
      <c r="A101">
        <v>100</v>
      </c>
      <c r="B101">
        <v>30</v>
      </c>
    </row>
    <row r="102" spans="1:2">
      <c r="A102">
        <v>101</v>
      </c>
      <c r="B102">
        <v>30</v>
      </c>
    </row>
    <row r="103" spans="1:2">
      <c r="A103">
        <v>102</v>
      </c>
      <c r="B103">
        <v>30</v>
      </c>
    </row>
    <row r="104" spans="1:2">
      <c r="A104">
        <v>103</v>
      </c>
      <c r="B104">
        <v>30</v>
      </c>
    </row>
    <row r="105" spans="1:2">
      <c r="A105">
        <v>104</v>
      </c>
      <c r="B105">
        <v>30</v>
      </c>
    </row>
    <row r="106" spans="1:2">
      <c r="A106">
        <v>105</v>
      </c>
      <c r="B106">
        <v>30</v>
      </c>
    </row>
    <row r="107" spans="1:2">
      <c r="A107">
        <v>106</v>
      </c>
      <c r="B107">
        <v>30</v>
      </c>
    </row>
    <row r="108" spans="1:2">
      <c r="A108">
        <v>107</v>
      </c>
      <c r="B108">
        <v>30</v>
      </c>
    </row>
    <row r="109" spans="1:2">
      <c r="A109">
        <v>108</v>
      </c>
      <c r="B109">
        <v>30</v>
      </c>
    </row>
    <row r="110" spans="1:2">
      <c r="A110">
        <v>109</v>
      </c>
      <c r="B110">
        <v>30</v>
      </c>
    </row>
    <row r="111" spans="1:2">
      <c r="A111">
        <v>110</v>
      </c>
      <c r="B111">
        <v>30</v>
      </c>
    </row>
    <row r="112" spans="1:2">
      <c r="A112">
        <v>111</v>
      </c>
      <c r="B112">
        <v>30</v>
      </c>
    </row>
    <row r="113" spans="1:2">
      <c r="A113">
        <v>112</v>
      </c>
      <c r="B113">
        <v>30</v>
      </c>
    </row>
    <row r="114" spans="1:2">
      <c r="A114">
        <v>113</v>
      </c>
      <c r="B114">
        <v>30</v>
      </c>
    </row>
    <row r="115" spans="1:2">
      <c r="A115">
        <v>114</v>
      </c>
      <c r="B115">
        <v>30</v>
      </c>
    </row>
    <row r="116" spans="1:2">
      <c r="A116">
        <v>115</v>
      </c>
      <c r="B116">
        <v>30</v>
      </c>
    </row>
    <row r="117" spans="1:2">
      <c r="A117">
        <v>116</v>
      </c>
      <c r="B117">
        <v>30</v>
      </c>
    </row>
    <row r="118" spans="1:2">
      <c r="A118">
        <v>117</v>
      </c>
      <c r="B118">
        <v>30</v>
      </c>
    </row>
    <row r="119" spans="1:2">
      <c r="A119">
        <v>118</v>
      </c>
      <c r="B119">
        <v>30</v>
      </c>
    </row>
    <row r="120" spans="1:2">
      <c r="A120">
        <v>119</v>
      </c>
      <c r="B120">
        <v>30</v>
      </c>
    </row>
    <row r="121" spans="1:2">
      <c r="A121">
        <v>120</v>
      </c>
      <c r="B121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52"/>
  <sheetViews>
    <sheetView workbookViewId="0">
      <selection activeCell="A23" sqref="A23"/>
    </sheetView>
  </sheetViews>
  <sheetFormatPr defaultRowHeight="15"/>
  <cols>
    <col min="5" max="5" width="11.28515625" customWidth="1"/>
  </cols>
  <sheetData>
    <row r="1" spans="1:14">
      <c r="J1" t="s">
        <v>23</v>
      </c>
      <c r="K1" t="s">
        <v>24</v>
      </c>
    </row>
    <row r="2" spans="1:14">
      <c r="A2" t="s">
        <v>12</v>
      </c>
      <c r="B2">
        <v>0</v>
      </c>
      <c r="J2">
        <v>3</v>
      </c>
      <c r="K2">
        <f>(J2-20.83755)/(-10.171)</f>
        <v>1.753765608101465</v>
      </c>
      <c r="N2" t="s">
        <v>25</v>
      </c>
    </row>
    <row r="3" spans="1:14">
      <c r="A3" t="s">
        <v>15</v>
      </c>
      <c r="B3">
        <v>-8</v>
      </c>
      <c r="J3">
        <v>3.1</v>
      </c>
      <c r="K3">
        <f t="shared" ref="K3:K66" si="0">(J3-20.83755)/(-10.171)</f>
        <v>1.7439337331629141</v>
      </c>
    </row>
    <row r="4" spans="1:14">
      <c r="A4" t="s">
        <v>18</v>
      </c>
      <c r="B4">
        <v>-10</v>
      </c>
      <c r="J4">
        <v>3.2</v>
      </c>
      <c r="K4">
        <f t="shared" si="0"/>
        <v>1.7341018582243637</v>
      </c>
    </row>
    <row r="5" spans="1:14">
      <c r="J5">
        <v>3.3</v>
      </c>
      <c r="K5">
        <f t="shared" si="0"/>
        <v>1.7242699832858126</v>
      </c>
    </row>
    <row r="6" spans="1:14">
      <c r="J6">
        <v>3.4</v>
      </c>
      <c r="K6">
        <f t="shared" si="0"/>
        <v>1.7144381083472622</v>
      </c>
    </row>
    <row r="7" spans="1:14">
      <c r="B7" t="s">
        <v>26</v>
      </c>
      <c r="C7" t="s">
        <v>27</v>
      </c>
      <c r="J7">
        <v>3.5</v>
      </c>
      <c r="K7">
        <f t="shared" si="0"/>
        <v>1.7046062334087111</v>
      </c>
    </row>
    <row r="8" spans="1:14">
      <c r="B8">
        <v>5</v>
      </c>
      <c r="C8">
        <f>C9-LOOKUP('IBU Formula'!$B$4,Sheet3!$J$2:$J$152,Sheet3!$K$2:$K$152)</f>
        <v>-5.0486874446957035</v>
      </c>
      <c r="J8">
        <v>3.6</v>
      </c>
      <c r="K8">
        <f t="shared" si="0"/>
        <v>1.6947743584701602</v>
      </c>
    </row>
    <row r="9" spans="1:14">
      <c r="B9">
        <v>5.0999999999999996</v>
      </c>
      <c r="C9">
        <f>C10-LOOKUP('IBU Formula'!$B$4,Sheet3!$J$2:$J$152,Sheet3!$K$2:$K$152)</f>
        <v>-3.7865155835217776</v>
      </c>
      <c r="J9">
        <v>3.7</v>
      </c>
      <c r="K9">
        <f t="shared" si="0"/>
        <v>1.6849424835316096</v>
      </c>
    </row>
    <row r="10" spans="1:14">
      <c r="B10">
        <v>5.2</v>
      </c>
      <c r="C10">
        <f>C11-LOOKUP('IBU Formula'!$B$4,Sheet3!$J$2:$J$152,Sheet3!$K$2:$K$152)</f>
        <v>-2.5243437223478518</v>
      </c>
      <c r="J10">
        <v>3.8</v>
      </c>
      <c r="K10">
        <f t="shared" si="0"/>
        <v>1.6751106085930587</v>
      </c>
    </row>
    <row r="11" spans="1:14">
      <c r="B11">
        <v>5.3</v>
      </c>
      <c r="C11">
        <f>C12-LOOKUP('IBU Formula'!$B$4,Sheet3!$J$2:$J$152,Sheet3!$K$2:$K$152)</f>
        <v>-1.2621718611739259</v>
      </c>
      <c r="J11">
        <v>3.9</v>
      </c>
      <c r="K11">
        <f t="shared" si="0"/>
        <v>1.6652787336545081</v>
      </c>
    </row>
    <row r="12" spans="1:14">
      <c r="B12">
        <v>5.4</v>
      </c>
      <c r="C12">
        <v>0</v>
      </c>
      <c r="J12">
        <v>4</v>
      </c>
      <c r="K12">
        <f t="shared" si="0"/>
        <v>1.6554468587159572</v>
      </c>
    </row>
    <row r="13" spans="1:14">
      <c r="B13">
        <v>5.5</v>
      </c>
      <c r="C13">
        <f>C12+LOOKUP('IBU Formula'!$B$4,Sheet3!$J$2:$J$152,Sheet3!$K$2:$K$152)</f>
        <v>1.2621718611739259</v>
      </c>
      <c r="J13">
        <v>4.0999999999999996</v>
      </c>
      <c r="K13">
        <f t="shared" si="0"/>
        <v>1.6456149837774063</v>
      </c>
    </row>
    <row r="14" spans="1:14">
      <c r="B14">
        <v>5.6</v>
      </c>
      <c r="C14">
        <f>C13+LOOKUP('IBU Formula'!$B$4,Sheet3!$J$2:$J$152,Sheet3!$K$2:$K$152)</f>
        <v>2.5243437223478518</v>
      </c>
      <c r="J14">
        <v>4.2</v>
      </c>
      <c r="K14">
        <f t="shared" si="0"/>
        <v>1.6357831088388557</v>
      </c>
    </row>
    <row r="15" spans="1:14">
      <c r="B15">
        <v>5.7</v>
      </c>
      <c r="C15">
        <f>C14+LOOKUP('IBU Formula'!$B$4,Sheet3!$J$2:$J$152,Sheet3!$K$2:$K$152)</f>
        <v>3.7865155835217776</v>
      </c>
      <c r="J15">
        <v>4.3</v>
      </c>
      <c r="K15">
        <f t="shared" si="0"/>
        <v>1.6259512339003048</v>
      </c>
    </row>
    <row r="16" spans="1:14">
      <c r="B16">
        <v>5.8</v>
      </c>
      <c r="C16">
        <f>C15+LOOKUP('IBU Formula'!$B$4,Sheet3!$J$2:$J$152,Sheet3!$K$2:$K$152)</f>
        <v>5.0486874446957035</v>
      </c>
      <c r="J16">
        <v>4.4000000000000004</v>
      </c>
      <c r="K16">
        <f t="shared" si="0"/>
        <v>1.6161193589617542</v>
      </c>
    </row>
    <row r="17" spans="1:11">
      <c r="J17">
        <v>4.5</v>
      </c>
      <c r="K17">
        <f t="shared" si="0"/>
        <v>1.6062874840232033</v>
      </c>
    </row>
    <row r="18" spans="1:11">
      <c r="J18">
        <v>4.5999999999999996</v>
      </c>
      <c r="K18">
        <f t="shared" si="0"/>
        <v>1.5964556090846524</v>
      </c>
    </row>
    <row r="19" spans="1:11">
      <c r="J19">
        <v>4.7</v>
      </c>
      <c r="K19">
        <f t="shared" si="0"/>
        <v>1.5866237341461018</v>
      </c>
    </row>
    <row r="20" spans="1:11">
      <c r="J20">
        <v>4.8</v>
      </c>
      <c r="K20">
        <f t="shared" si="0"/>
        <v>1.5767918592075509</v>
      </c>
    </row>
    <row r="21" spans="1:11">
      <c r="A21" t="s">
        <v>28</v>
      </c>
      <c r="J21">
        <v>4.9000000000000004</v>
      </c>
      <c r="K21">
        <f t="shared" si="0"/>
        <v>1.5669599842690001</v>
      </c>
    </row>
    <row r="22" spans="1:11">
      <c r="A22" t="s">
        <v>20</v>
      </c>
      <c r="J22">
        <v>5</v>
      </c>
      <c r="K22">
        <f t="shared" si="0"/>
        <v>1.5571281093304494</v>
      </c>
    </row>
    <row r="23" spans="1:11">
      <c r="J23">
        <v>5.0999999999999996</v>
      </c>
      <c r="K23">
        <f t="shared" si="0"/>
        <v>1.5472962343918988</v>
      </c>
    </row>
    <row r="24" spans="1:11">
      <c r="J24">
        <v>5.2</v>
      </c>
      <c r="K24">
        <f t="shared" si="0"/>
        <v>1.5374643594533479</v>
      </c>
    </row>
    <row r="25" spans="1:11">
      <c r="J25">
        <v>5.3000000000000007</v>
      </c>
      <c r="K25">
        <f t="shared" si="0"/>
        <v>1.5276324845147971</v>
      </c>
    </row>
    <row r="26" spans="1:11">
      <c r="J26">
        <v>5.4</v>
      </c>
      <c r="K26">
        <f t="shared" si="0"/>
        <v>1.5178006095762462</v>
      </c>
    </row>
    <row r="27" spans="1:11">
      <c r="J27">
        <v>5.5</v>
      </c>
      <c r="K27">
        <f t="shared" si="0"/>
        <v>1.5079687346376955</v>
      </c>
    </row>
    <row r="28" spans="1:11">
      <c r="J28">
        <v>5.6</v>
      </c>
      <c r="K28">
        <f t="shared" si="0"/>
        <v>1.4981368596991447</v>
      </c>
    </row>
    <row r="29" spans="1:11">
      <c r="J29">
        <v>5.7</v>
      </c>
      <c r="K29">
        <f t="shared" si="0"/>
        <v>1.488304984760594</v>
      </c>
    </row>
    <row r="30" spans="1:11">
      <c r="J30">
        <v>5.8000000000000007</v>
      </c>
      <c r="K30">
        <f t="shared" si="0"/>
        <v>1.4784731098220432</v>
      </c>
    </row>
    <row r="31" spans="1:11">
      <c r="J31">
        <v>5.9</v>
      </c>
      <c r="K31">
        <f t="shared" si="0"/>
        <v>1.4686412348834923</v>
      </c>
    </row>
    <row r="32" spans="1:11">
      <c r="J32">
        <v>6</v>
      </c>
      <c r="K32">
        <f t="shared" si="0"/>
        <v>1.4588093599449417</v>
      </c>
    </row>
    <row r="33" spans="10:11">
      <c r="J33">
        <v>6.1</v>
      </c>
      <c r="K33">
        <f t="shared" si="0"/>
        <v>1.4489774850063908</v>
      </c>
    </row>
    <row r="34" spans="10:11">
      <c r="J34">
        <v>6.2</v>
      </c>
      <c r="K34">
        <f t="shared" si="0"/>
        <v>1.4391456100678401</v>
      </c>
    </row>
    <row r="35" spans="10:11">
      <c r="J35">
        <v>6.3000000000000007</v>
      </c>
      <c r="K35">
        <f t="shared" si="0"/>
        <v>1.4293137351292893</v>
      </c>
    </row>
    <row r="36" spans="10:11">
      <c r="J36">
        <v>6.4</v>
      </c>
      <c r="K36">
        <f t="shared" si="0"/>
        <v>1.4194818601907384</v>
      </c>
    </row>
    <row r="37" spans="10:11">
      <c r="J37">
        <v>6.5</v>
      </c>
      <c r="K37">
        <f t="shared" si="0"/>
        <v>1.4096499852521878</v>
      </c>
    </row>
    <row r="38" spans="10:11">
      <c r="J38">
        <v>6.6</v>
      </c>
      <c r="K38">
        <f t="shared" si="0"/>
        <v>1.3998181103136369</v>
      </c>
    </row>
    <row r="39" spans="10:11">
      <c r="J39">
        <v>6.7</v>
      </c>
      <c r="K39">
        <f t="shared" si="0"/>
        <v>1.3899862353750863</v>
      </c>
    </row>
    <row r="40" spans="10:11">
      <c r="J40">
        <v>6.8000000000000007</v>
      </c>
      <c r="K40">
        <f t="shared" si="0"/>
        <v>1.3801543604365354</v>
      </c>
    </row>
    <row r="41" spans="10:11">
      <c r="J41">
        <v>6.9</v>
      </c>
      <c r="K41">
        <f t="shared" si="0"/>
        <v>1.3703224854979845</v>
      </c>
    </row>
    <row r="42" spans="10:11">
      <c r="J42">
        <v>7</v>
      </c>
      <c r="K42">
        <f t="shared" si="0"/>
        <v>1.3604906105594339</v>
      </c>
    </row>
    <row r="43" spans="10:11">
      <c r="J43">
        <v>7.1000000000000005</v>
      </c>
      <c r="K43">
        <f t="shared" si="0"/>
        <v>1.3506587356208828</v>
      </c>
    </row>
    <row r="44" spans="10:11">
      <c r="J44">
        <v>7.2</v>
      </c>
      <c r="K44">
        <f t="shared" si="0"/>
        <v>1.3408268606823324</v>
      </c>
    </row>
    <row r="45" spans="10:11">
      <c r="J45">
        <v>7.3</v>
      </c>
      <c r="K45">
        <f t="shared" si="0"/>
        <v>1.3309949857437813</v>
      </c>
    </row>
    <row r="46" spans="10:11">
      <c r="J46">
        <v>7.4</v>
      </c>
      <c r="K46">
        <f t="shared" si="0"/>
        <v>1.3211631108052306</v>
      </c>
    </row>
    <row r="47" spans="10:11">
      <c r="J47">
        <v>7.5</v>
      </c>
      <c r="K47">
        <f t="shared" si="0"/>
        <v>1.31133123586668</v>
      </c>
    </row>
    <row r="48" spans="10:11">
      <c r="J48">
        <v>7.6000000000000005</v>
      </c>
      <c r="K48">
        <f t="shared" si="0"/>
        <v>1.3014993609281289</v>
      </c>
    </row>
    <row r="49" spans="10:11">
      <c r="J49">
        <v>7.7</v>
      </c>
      <c r="K49">
        <f t="shared" si="0"/>
        <v>1.2916674859895785</v>
      </c>
    </row>
    <row r="50" spans="10:11">
      <c r="J50">
        <v>7.8000000000000007</v>
      </c>
      <c r="K50">
        <f t="shared" si="0"/>
        <v>1.2818356110510274</v>
      </c>
    </row>
    <row r="51" spans="10:11">
      <c r="J51">
        <v>7.9</v>
      </c>
      <c r="K51">
        <f t="shared" si="0"/>
        <v>1.2720037361124767</v>
      </c>
    </row>
    <row r="52" spans="10:11">
      <c r="J52">
        <v>8</v>
      </c>
      <c r="K52">
        <f t="shared" si="0"/>
        <v>1.2621718611739259</v>
      </c>
    </row>
    <row r="53" spans="10:11">
      <c r="J53">
        <v>8.1000000000000014</v>
      </c>
      <c r="K53">
        <f t="shared" si="0"/>
        <v>1.252339986235375</v>
      </c>
    </row>
    <row r="54" spans="10:11">
      <c r="J54">
        <v>8.1999999999999993</v>
      </c>
      <c r="K54">
        <f t="shared" si="0"/>
        <v>1.2425081112968244</v>
      </c>
    </row>
    <row r="55" spans="10:11">
      <c r="J55">
        <v>8.3000000000000007</v>
      </c>
      <c r="K55">
        <f t="shared" si="0"/>
        <v>1.2326762363582735</v>
      </c>
    </row>
    <row r="56" spans="10:11">
      <c r="J56">
        <v>8.4</v>
      </c>
      <c r="K56">
        <f t="shared" si="0"/>
        <v>1.2228443614197229</v>
      </c>
    </row>
    <row r="57" spans="10:11">
      <c r="J57">
        <v>8.5</v>
      </c>
      <c r="K57">
        <f t="shared" si="0"/>
        <v>1.213012486481172</v>
      </c>
    </row>
    <row r="58" spans="10:11">
      <c r="J58">
        <v>8.6000000000000014</v>
      </c>
      <c r="K58">
        <f t="shared" si="0"/>
        <v>1.2031806115426211</v>
      </c>
    </row>
    <row r="59" spans="10:11">
      <c r="J59">
        <v>8.6999999999999993</v>
      </c>
      <c r="K59">
        <f t="shared" si="0"/>
        <v>1.1933487366040705</v>
      </c>
    </row>
    <row r="60" spans="10:11">
      <c r="J60">
        <v>8.8000000000000007</v>
      </c>
      <c r="K60">
        <f t="shared" si="0"/>
        <v>1.1835168616655196</v>
      </c>
    </row>
    <row r="61" spans="10:11">
      <c r="J61">
        <v>8.9</v>
      </c>
      <c r="K61">
        <f t="shared" si="0"/>
        <v>1.173684986726969</v>
      </c>
    </row>
    <row r="62" spans="10:11">
      <c r="J62">
        <v>9</v>
      </c>
      <c r="K62">
        <f t="shared" si="0"/>
        <v>1.1638531117884181</v>
      </c>
    </row>
    <row r="63" spans="10:11">
      <c r="J63">
        <v>9.1000000000000014</v>
      </c>
      <c r="K63">
        <f t="shared" si="0"/>
        <v>1.1540212368498672</v>
      </c>
    </row>
    <row r="64" spans="10:11">
      <c r="J64">
        <v>9.1999999999999993</v>
      </c>
      <c r="K64">
        <f t="shared" si="0"/>
        <v>1.1441893619113166</v>
      </c>
    </row>
    <row r="65" spans="10:11">
      <c r="J65">
        <v>9.3000000000000007</v>
      </c>
      <c r="K65">
        <f t="shared" si="0"/>
        <v>1.1343574869727657</v>
      </c>
    </row>
    <row r="66" spans="10:11">
      <c r="J66">
        <v>9.4</v>
      </c>
      <c r="K66">
        <f t="shared" si="0"/>
        <v>1.1245256120342151</v>
      </c>
    </row>
    <row r="67" spans="10:11">
      <c r="J67">
        <v>9.5</v>
      </c>
      <c r="K67">
        <f t="shared" ref="K67:K130" si="1">(J67-20.83755)/(-10.171)</f>
        <v>1.1146937370956642</v>
      </c>
    </row>
    <row r="68" spans="10:11">
      <c r="J68">
        <v>9.6000000000000014</v>
      </c>
      <c r="K68">
        <f t="shared" si="1"/>
        <v>1.1048618621571134</v>
      </c>
    </row>
    <row r="69" spans="10:11">
      <c r="J69">
        <v>9.6999999999999993</v>
      </c>
      <c r="K69">
        <f t="shared" si="1"/>
        <v>1.0950299872185627</v>
      </c>
    </row>
    <row r="70" spans="10:11">
      <c r="J70">
        <v>9.8000000000000007</v>
      </c>
      <c r="K70">
        <f t="shared" si="1"/>
        <v>1.0851981122800118</v>
      </c>
    </row>
    <row r="71" spans="10:11">
      <c r="J71">
        <v>9.9</v>
      </c>
      <c r="K71">
        <f t="shared" si="1"/>
        <v>1.075366237341461</v>
      </c>
    </row>
    <row r="72" spans="10:11">
      <c r="J72">
        <v>10</v>
      </c>
      <c r="K72">
        <f t="shared" si="1"/>
        <v>1.0655343624029103</v>
      </c>
    </row>
    <row r="73" spans="10:11">
      <c r="J73">
        <v>10.100000000000001</v>
      </c>
      <c r="K73">
        <f t="shared" si="1"/>
        <v>1.0557024874643595</v>
      </c>
    </row>
    <row r="74" spans="10:11">
      <c r="J74">
        <v>10.199999999999999</v>
      </c>
      <c r="K74">
        <f t="shared" si="1"/>
        <v>1.0458706125258088</v>
      </c>
    </row>
    <row r="75" spans="10:11">
      <c r="J75">
        <v>10.3</v>
      </c>
      <c r="K75">
        <f t="shared" si="1"/>
        <v>1.036038737587258</v>
      </c>
    </row>
    <row r="76" spans="10:11">
      <c r="J76">
        <v>10.4</v>
      </c>
      <c r="K76">
        <f t="shared" si="1"/>
        <v>1.0262068626487071</v>
      </c>
    </row>
    <row r="77" spans="10:11">
      <c r="J77">
        <v>10.5</v>
      </c>
      <c r="K77">
        <f t="shared" si="1"/>
        <v>1.0163749877101564</v>
      </c>
    </row>
    <row r="78" spans="10:11">
      <c r="J78">
        <v>10.600000000000001</v>
      </c>
      <c r="K78">
        <f t="shared" si="1"/>
        <v>1.0065431127716056</v>
      </c>
    </row>
    <row r="79" spans="10:11">
      <c r="J79">
        <v>10.7</v>
      </c>
      <c r="K79">
        <f t="shared" si="1"/>
        <v>0.99671123783305493</v>
      </c>
    </row>
    <row r="80" spans="10:11">
      <c r="J80">
        <v>10.8</v>
      </c>
      <c r="K80">
        <f t="shared" si="1"/>
        <v>0.98687936289450395</v>
      </c>
    </row>
    <row r="81" spans="10:11">
      <c r="J81">
        <v>10.9</v>
      </c>
      <c r="K81">
        <f t="shared" si="1"/>
        <v>0.9770474879559532</v>
      </c>
    </row>
    <row r="82" spans="10:11">
      <c r="J82">
        <v>11</v>
      </c>
      <c r="K82">
        <f t="shared" si="1"/>
        <v>0.96721561301740255</v>
      </c>
    </row>
    <row r="83" spans="10:11">
      <c r="J83">
        <v>11.1</v>
      </c>
      <c r="K83">
        <f t="shared" si="1"/>
        <v>0.9573837380788518</v>
      </c>
    </row>
    <row r="84" spans="10:11">
      <c r="J84">
        <v>11.200000000000001</v>
      </c>
      <c r="K84">
        <f t="shared" si="1"/>
        <v>0.94755186314030082</v>
      </c>
    </row>
    <row r="85" spans="10:11">
      <c r="J85">
        <v>11.3</v>
      </c>
      <c r="K85">
        <f t="shared" si="1"/>
        <v>0.93771998820175007</v>
      </c>
    </row>
    <row r="86" spans="10:11">
      <c r="J86">
        <v>11.4</v>
      </c>
      <c r="K86">
        <f t="shared" si="1"/>
        <v>0.92788811326319931</v>
      </c>
    </row>
    <row r="87" spans="10:11">
      <c r="J87">
        <v>11.5</v>
      </c>
      <c r="K87">
        <f t="shared" si="1"/>
        <v>0.91805623832464855</v>
      </c>
    </row>
    <row r="88" spans="10:11">
      <c r="J88">
        <v>11.6</v>
      </c>
      <c r="K88">
        <f t="shared" si="1"/>
        <v>0.9082243633860978</v>
      </c>
    </row>
    <row r="89" spans="10:11">
      <c r="J89">
        <v>11.700000000000001</v>
      </c>
      <c r="K89">
        <f t="shared" si="1"/>
        <v>0.89839248844754693</v>
      </c>
    </row>
    <row r="90" spans="10:11">
      <c r="J90">
        <v>11.8</v>
      </c>
      <c r="K90">
        <f t="shared" si="1"/>
        <v>0.88856061350899618</v>
      </c>
    </row>
    <row r="91" spans="10:11">
      <c r="J91">
        <v>11.9</v>
      </c>
      <c r="K91">
        <f t="shared" si="1"/>
        <v>0.87872873857044542</v>
      </c>
    </row>
    <row r="92" spans="10:11">
      <c r="J92">
        <v>12</v>
      </c>
      <c r="K92">
        <f t="shared" si="1"/>
        <v>0.86889686363189467</v>
      </c>
    </row>
    <row r="93" spans="10:11">
      <c r="J93">
        <v>12.1</v>
      </c>
      <c r="K93">
        <f t="shared" si="1"/>
        <v>0.85906498869334391</v>
      </c>
    </row>
    <row r="94" spans="10:11">
      <c r="J94">
        <v>12.200000000000001</v>
      </c>
      <c r="K94">
        <f t="shared" si="1"/>
        <v>0.84923311375479305</v>
      </c>
    </row>
    <row r="95" spans="10:11">
      <c r="J95">
        <v>12.3</v>
      </c>
      <c r="K95">
        <f t="shared" si="1"/>
        <v>0.83940123881624229</v>
      </c>
    </row>
    <row r="96" spans="10:11">
      <c r="J96">
        <v>12.4</v>
      </c>
      <c r="K96">
        <f t="shared" si="1"/>
        <v>0.82956936387769153</v>
      </c>
    </row>
    <row r="97" spans="10:11">
      <c r="J97">
        <v>12.5</v>
      </c>
      <c r="K97">
        <f t="shared" si="1"/>
        <v>0.81973748893914078</v>
      </c>
    </row>
    <row r="98" spans="10:11">
      <c r="J98">
        <v>12.600000000000001</v>
      </c>
      <c r="K98">
        <f t="shared" si="1"/>
        <v>0.8099056140005898</v>
      </c>
    </row>
    <row r="99" spans="10:11">
      <c r="J99">
        <v>12.700000000000001</v>
      </c>
      <c r="K99">
        <f t="shared" si="1"/>
        <v>0.80007373906203905</v>
      </c>
    </row>
    <row r="100" spans="10:11">
      <c r="J100">
        <v>12.8</v>
      </c>
      <c r="K100">
        <f t="shared" si="1"/>
        <v>0.7902418641234884</v>
      </c>
    </row>
    <row r="101" spans="10:11">
      <c r="J101">
        <v>12.9</v>
      </c>
      <c r="K101">
        <f t="shared" si="1"/>
        <v>0.78040998918493765</v>
      </c>
    </row>
    <row r="102" spans="10:11">
      <c r="J102">
        <v>13</v>
      </c>
      <c r="K102">
        <f t="shared" si="1"/>
        <v>0.77057811424638689</v>
      </c>
    </row>
    <row r="103" spans="10:11">
      <c r="J103">
        <v>13.100000000000001</v>
      </c>
      <c r="K103">
        <f t="shared" si="1"/>
        <v>0.76074623930783591</v>
      </c>
    </row>
    <row r="104" spans="10:11">
      <c r="J104">
        <v>13.200000000000001</v>
      </c>
      <c r="K104">
        <f t="shared" si="1"/>
        <v>0.75091436436928516</v>
      </c>
    </row>
    <row r="105" spans="10:11">
      <c r="J105">
        <v>13.3</v>
      </c>
      <c r="K105">
        <f t="shared" si="1"/>
        <v>0.7410824894307344</v>
      </c>
    </row>
    <row r="106" spans="10:11">
      <c r="J106">
        <v>13.4</v>
      </c>
      <c r="K106">
        <f t="shared" si="1"/>
        <v>0.73125061449218365</v>
      </c>
    </row>
    <row r="107" spans="10:11">
      <c r="J107">
        <v>13.5</v>
      </c>
      <c r="K107">
        <f t="shared" si="1"/>
        <v>0.72141873955363289</v>
      </c>
    </row>
    <row r="108" spans="10:11">
      <c r="J108">
        <v>13.600000000000001</v>
      </c>
      <c r="K108">
        <f t="shared" si="1"/>
        <v>0.71158686461508203</v>
      </c>
    </row>
    <row r="109" spans="10:11">
      <c r="J109">
        <v>13.700000000000001</v>
      </c>
      <c r="K109">
        <f t="shared" si="1"/>
        <v>0.70175498967653127</v>
      </c>
    </row>
    <row r="110" spans="10:11">
      <c r="J110">
        <v>13.8</v>
      </c>
      <c r="K110">
        <f t="shared" si="1"/>
        <v>0.69192311473798052</v>
      </c>
    </row>
    <row r="111" spans="10:11">
      <c r="J111">
        <v>13.9</v>
      </c>
      <c r="K111">
        <f t="shared" si="1"/>
        <v>0.68209123979942976</v>
      </c>
    </row>
    <row r="112" spans="10:11">
      <c r="J112">
        <v>14</v>
      </c>
      <c r="K112">
        <f t="shared" si="1"/>
        <v>0.67225936486087901</v>
      </c>
    </row>
    <row r="113" spans="10:11">
      <c r="J113">
        <v>14.100000000000001</v>
      </c>
      <c r="K113">
        <f t="shared" si="1"/>
        <v>0.66242748992232814</v>
      </c>
    </row>
    <row r="114" spans="10:11">
      <c r="J114">
        <v>14.200000000000001</v>
      </c>
      <c r="K114">
        <f t="shared" si="1"/>
        <v>0.65259561498377738</v>
      </c>
    </row>
    <row r="115" spans="10:11">
      <c r="J115">
        <v>14.3</v>
      </c>
      <c r="K115">
        <f t="shared" si="1"/>
        <v>0.64276374004522663</v>
      </c>
    </row>
    <row r="116" spans="10:11">
      <c r="J116">
        <v>14.4</v>
      </c>
      <c r="K116">
        <f t="shared" si="1"/>
        <v>0.63293186510667587</v>
      </c>
    </row>
    <row r="117" spans="10:11">
      <c r="J117">
        <v>14.5</v>
      </c>
      <c r="K117">
        <f t="shared" si="1"/>
        <v>0.62309999016812512</v>
      </c>
    </row>
    <row r="118" spans="10:11">
      <c r="J118">
        <v>14.600000000000001</v>
      </c>
      <c r="K118">
        <f t="shared" si="1"/>
        <v>0.61326811522957425</v>
      </c>
    </row>
    <row r="119" spans="10:11">
      <c r="J119">
        <v>14.700000000000001</v>
      </c>
      <c r="K119">
        <f t="shared" si="1"/>
        <v>0.6034362402910235</v>
      </c>
    </row>
    <row r="120" spans="10:11">
      <c r="J120">
        <v>14.8</v>
      </c>
      <c r="K120">
        <f t="shared" si="1"/>
        <v>0.59360436535247274</v>
      </c>
    </row>
    <row r="121" spans="10:11">
      <c r="J121">
        <v>14.9</v>
      </c>
      <c r="K121">
        <f t="shared" si="1"/>
        <v>0.58377249041392199</v>
      </c>
    </row>
    <row r="122" spans="10:11">
      <c r="J122">
        <v>15</v>
      </c>
      <c r="K122">
        <f t="shared" si="1"/>
        <v>0.57394061547537123</v>
      </c>
    </row>
    <row r="123" spans="10:11">
      <c r="J123">
        <v>15.100000000000001</v>
      </c>
      <c r="K123">
        <f t="shared" si="1"/>
        <v>0.56410874053682025</v>
      </c>
    </row>
    <row r="124" spans="10:11">
      <c r="J124">
        <v>15.200000000000001</v>
      </c>
      <c r="K124">
        <f t="shared" si="1"/>
        <v>0.5542768655982695</v>
      </c>
    </row>
    <row r="125" spans="10:11">
      <c r="J125">
        <v>15.3</v>
      </c>
      <c r="K125">
        <f t="shared" si="1"/>
        <v>0.54444499065971874</v>
      </c>
    </row>
    <row r="126" spans="10:11">
      <c r="J126">
        <v>15.4</v>
      </c>
      <c r="K126">
        <f t="shared" si="1"/>
        <v>0.5346131157211681</v>
      </c>
    </row>
    <row r="127" spans="10:11">
      <c r="J127">
        <v>15.5</v>
      </c>
      <c r="K127">
        <f t="shared" si="1"/>
        <v>0.52478124078261734</v>
      </c>
    </row>
    <row r="128" spans="10:11">
      <c r="J128">
        <v>15.600000000000001</v>
      </c>
      <c r="K128">
        <f t="shared" si="1"/>
        <v>0.51494936584406636</v>
      </c>
    </row>
    <row r="129" spans="10:11">
      <c r="J129">
        <v>15.700000000000001</v>
      </c>
      <c r="K129">
        <f t="shared" si="1"/>
        <v>0.50511749090551561</v>
      </c>
    </row>
    <row r="130" spans="10:11">
      <c r="J130">
        <v>15.8</v>
      </c>
      <c r="K130">
        <f t="shared" si="1"/>
        <v>0.49528561596696491</v>
      </c>
    </row>
    <row r="131" spans="10:11">
      <c r="J131">
        <v>15.9</v>
      </c>
      <c r="K131">
        <f t="shared" ref="K131:K152" si="2">(J131-20.83755)/(-10.171)</f>
        <v>0.48545374102841415</v>
      </c>
    </row>
    <row r="132" spans="10:11">
      <c r="J132">
        <v>16</v>
      </c>
      <c r="K132">
        <f t="shared" si="2"/>
        <v>0.4756218660898634</v>
      </c>
    </row>
    <row r="133" spans="10:11">
      <c r="J133">
        <v>16.100000000000001</v>
      </c>
      <c r="K133">
        <f t="shared" si="2"/>
        <v>0.46578999115131248</v>
      </c>
    </row>
    <row r="134" spans="10:11">
      <c r="J134">
        <v>16.200000000000003</v>
      </c>
      <c r="K134">
        <f t="shared" si="2"/>
        <v>0.45595811621276156</v>
      </c>
    </row>
    <row r="135" spans="10:11">
      <c r="J135">
        <v>16.3</v>
      </c>
      <c r="K135">
        <f t="shared" si="2"/>
        <v>0.44612624127421097</v>
      </c>
    </row>
    <row r="136" spans="10:11">
      <c r="J136">
        <v>16.399999999999999</v>
      </c>
      <c r="K136">
        <f t="shared" si="2"/>
        <v>0.43629436633566038</v>
      </c>
    </row>
    <row r="137" spans="10:11">
      <c r="J137">
        <v>16.5</v>
      </c>
      <c r="K137">
        <f t="shared" si="2"/>
        <v>0.42646249139710946</v>
      </c>
    </row>
    <row r="138" spans="10:11">
      <c r="J138">
        <v>16.600000000000001</v>
      </c>
      <c r="K138">
        <f t="shared" si="2"/>
        <v>0.41663061645855853</v>
      </c>
    </row>
    <row r="139" spans="10:11">
      <c r="J139">
        <v>16.700000000000003</v>
      </c>
      <c r="K139">
        <f t="shared" si="2"/>
        <v>0.40679874152000761</v>
      </c>
    </row>
    <row r="140" spans="10:11">
      <c r="J140">
        <v>16.8</v>
      </c>
      <c r="K140">
        <f t="shared" si="2"/>
        <v>0.39696686658145708</v>
      </c>
    </row>
    <row r="141" spans="10:11">
      <c r="J141">
        <v>16.899999999999999</v>
      </c>
      <c r="K141">
        <f t="shared" si="2"/>
        <v>0.38713499164290649</v>
      </c>
    </row>
    <row r="142" spans="10:11">
      <c r="J142">
        <v>17</v>
      </c>
      <c r="K142">
        <f t="shared" si="2"/>
        <v>0.37730311670435557</v>
      </c>
    </row>
    <row r="143" spans="10:11">
      <c r="J143">
        <v>17.100000000000001</v>
      </c>
      <c r="K143">
        <f t="shared" si="2"/>
        <v>0.36747124176580465</v>
      </c>
    </row>
    <row r="144" spans="10:11">
      <c r="J144">
        <v>17.200000000000003</v>
      </c>
      <c r="K144">
        <f t="shared" si="2"/>
        <v>0.35763936682725372</v>
      </c>
    </row>
    <row r="145" spans="10:11">
      <c r="J145">
        <v>17.3</v>
      </c>
      <c r="K145">
        <f t="shared" si="2"/>
        <v>0.34780749188870314</v>
      </c>
    </row>
    <row r="146" spans="10:11">
      <c r="J146">
        <v>17.399999999999999</v>
      </c>
      <c r="K146">
        <f t="shared" si="2"/>
        <v>0.3379756169501526</v>
      </c>
    </row>
    <row r="147" spans="10:11">
      <c r="J147">
        <v>17.5</v>
      </c>
      <c r="K147">
        <f t="shared" si="2"/>
        <v>0.32814374201160168</v>
      </c>
    </row>
    <row r="148" spans="10:11">
      <c r="J148">
        <v>17.600000000000001</v>
      </c>
      <c r="K148">
        <f t="shared" si="2"/>
        <v>0.31831186707305076</v>
      </c>
    </row>
    <row r="149" spans="10:11">
      <c r="J149">
        <v>17.700000000000003</v>
      </c>
      <c r="K149">
        <f t="shared" si="2"/>
        <v>0.30847999213449984</v>
      </c>
    </row>
    <row r="150" spans="10:11">
      <c r="J150">
        <v>17.8</v>
      </c>
      <c r="K150">
        <f t="shared" si="2"/>
        <v>0.29864811719594925</v>
      </c>
    </row>
    <row r="151" spans="10:11">
      <c r="J151">
        <v>17.899999999999999</v>
      </c>
      <c r="K151">
        <f t="shared" si="2"/>
        <v>0.28881624225739866</v>
      </c>
    </row>
    <row r="152" spans="10:11">
      <c r="J152">
        <v>18</v>
      </c>
      <c r="K152">
        <f t="shared" si="2"/>
        <v>0.27898436731884774</v>
      </c>
    </row>
  </sheetData>
  <dataValidations disablePrompts="1" count="1">
    <dataValidation type="list" allowBlank="1" showInputMessage="1" showErrorMessage="1" sqref="B5">
      <formula1>$A$2:$A$4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Web App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Darin &amp; Amy</dc:creator>
  <cp:lastModifiedBy>Darin Haener</cp:lastModifiedBy>
  <dcterms:created xsi:type="dcterms:W3CDTF">2009-04-21T20:41:22Z</dcterms:created>
  <dcterms:modified xsi:type="dcterms:W3CDTF">2014-01-12T00:09:31Z</dcterms:modified>
</cp:coreProperties>
</file>